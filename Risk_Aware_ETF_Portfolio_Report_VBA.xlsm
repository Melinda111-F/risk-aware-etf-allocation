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7"/>
  <workbookPr/>
  <mc:AlternateContent xmlns:mc="http://schemas.openxmlformats.org/markup-compatibility/2006">
    <mc:Choice Requires="x15">
      <x15ac:absPath xmlns:x15ac="http://schemas.microsoft.com/office/spreadsheetml/2010/11/ac" url="/Users/mmmelinda_yu/Downloads/"/>
    </mc:Choice>
  </mc:AlternateContent>
  <xr:revisionPtr revIDLastSave="0" documentId="8_{B9B0B0E7-598E-974B-B83D-6F850242518B}" xr6:coauthVersionLast="47" xr6:coauthVersionMax="47" xr10:uidLastSave="{00000000-0000-0000-0000-000000000000}"/>
  <bookViews>
    <workbookView xWindow="0" yWindow="760" windowWidth="29400" windowHeight="16600" xr2:uid="{00000000-000D-0000-FFFF-FFFF00000000}"/>
  </bookViews>
  <sheets>
    <sheet name="Portfolio Summary" sheetId="1" r:id="rId1"/>
    <sheet name="ETF Data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4" i="1" l="1"/>
  <c r="B22" i="1"/>
  <c r="I16" i="1"/>
  <c r="H16" i="1"/>
  <c r="G16" i="1"/>
  <c r="F16" i="1"/>
  <c r="D16" i="1"/>
  <c r="E16" i="1" s="1"/>
  <c r="C16" i="1"/>
  <c r="J16" i="1" s="1"/>
  <c r="B16" i="1"/>
  <c r="I15" i="1"/>
  <c r="H15" i="1"/>
  <c r="G15" i="1"/>
  <c r="F15" i="1"/>
  <c r="D15" i="1"/>
  <c r="E15" i="1" s="1"/>
  <c r="C15" i="1"/>
  <c r="J15" i="1" s="1"/>
  <c r="B15" i="1"/>
  <c r="I14" i="1"/>
  <c r="H14" i="1"/>
  <c r="G14" i="1"/>
  <c r="F14" i="1"/>
  <c r="D14" i="1"/>
  <c r="E14" i="1" s="1"/>
  <c r="C14" i="1"/>
  <c r="J14" i="1" s="1"/>
  <c r="B14" i="1"/>
  <c r="J13" i="1"/>
  <c r="I13" i="1"/>
  <c r="H13" i="1"/>
  <c r="G13" i="1"/>
  <c r="F13" i="1"/>
  <c r="D13" i="1"/>
  <c r="D17" i="1" s="1"/>
  <c r="C13" i="1"/>
  <c r="B13" i="1"/>
  <c r="J12" i="1"/>
  <c r="I12" i="1"/>
  <c r="H12" i="1"/>
  <c r="G12" i="1"/>
  <c r="F12" i="1"/>
  <c r="E12" i="1"/>
  <c r="K12" i="1" s="1"/>
  <c r="D12" i="1"/>
  <c r="C12" i="1"/>
  <c r="B12" i="1"/>
  <c r="E7" i="1"/>
  <c r="E6" i="1"/>
  <c r="K16" i="1" l="1"/>
  <c r="L16" i="1" s="1"/>
  <c r="K15" i="1"/>
  <c r="D23" i="1" s="1"/>
  <c r="K14" i="1"/>
  <c r="L14" i="1" s="1"/>
  <c r="L12" i="1"/>
  <c r="B23" i="1"/>
  <c r="B25" i="1" s="1"/>
  <c r="C23" i="1"/>
  <c r="C24" i="1"/>
  <c r="D24" i="1"/>
  <c r="E13" i="1"/>
  <c r="E5" i="1"/>
  <c r="K13" i="1" l="1"/>
  <c r="E17" i="1"/>
  <c r="L15" i="1"/>
  <c r="C22" i="1"/>
  <c r="C25" i="1" s="1"/>
  <c r="K17" i="1" l="1"/>
  <c r="D22" i="1"/>
  <c r="D25" i="1" s="1"/>
  <c r="L13" i="1"/>
  <c r="L17" i="1" l="1"/>
  <c r="E8" i="1"/>
  <c r="E9" i="1" s="1"/>
</calcChain>
</file>

<file path=xl/sharedStrings.xml><?xml version="1.0" encoding="utf-8"?>
<sst xmlns="http://schemas.openxmlformats.org/spreadsheetml/2006/main" count="74" uniqueCount="51">
  <si>
    <t>Risk-Aware ETF Portfolio Allocation</t>
  </si>
  <si>
    <t>Moderate-risk educational portfolio | Python allocation logic + Excel reporting layer</t>
  </si>
  <si>
    <t>Assumption</t>
  </si>
  <si>
    <t>Editable Value</t>
  </si>
  <si>
    <t>Portfolio Metric</t>
  </si>
  <si>
    <t>Formula Result</t>
  </si>
  <si>
    <t>Investment Amount (CAD)</t>
  </si>
  <si>
    <t>Total Allocation</t>
  </si>
  <si>
    <t>Equity Stress Shock</t>
  </si>
  <si>
    <t>Weighted Expected Return</t>
  </si>
  <si>
    <t>Bond Stress Shock</t>
  </si>
  <si>
    <t>Weighted Input Volatility</t>
  </si>
  <si>
    <t>Gold Stress Shock</t>
  </si>
  <si>
    <t>Stress-Test Value</t>
  </si>
  <si>
    <t>Stress-Test Change</t>
  </si>
  <si>
    <t>ETF</t>
  </si>
  <si>
    <t>ETF Name</t>
  </si>
  <si>
    <t>Asset Class</t>
  </si>
  <si>
    <t>Allocation %</t>
  </si>
  <si>
    <t>Investment Amount</t>
  </si>
  <si>
    <t>Expected Return %</t>
  </si>
  <si>
    <t>Volatility %</t>
  </si>
  <si>
    <t>Diversification</t>
  </si>
  <si>
    <t>ETF Score</t>
  </si>
  <si>
    <t>Stress Shock</t>
  </si>
  <si>
    <t>Stress Change</t>
  </si>
  <si>
    <t>Stress Value</t>
  </si>
  <si>
    <t>VFV</t>
  </si>
  <si>
    <t>XIC</t>
  </si>
  <si>
    <t>XEF</t>
  </si>
  <si>
    <t>XBB</t>
  </si>
  <si>
    <t>CGL</t>
  </si>
  <si>
    <t>Total</t>
  </si>
  <si>
    <t>Equity</t>
  </si>
  <si>
    <t>Bond</t>
  </si>
  <si>
    <t>Gold</t>
  </si>
  <si>
    <t>How to Read the Stress Test</t>
  </si>
  <si>
    <t>1</t>
  </si>
  <si>
    <t>Apply a simple class-level shock to each investment amount.</t>
  </si>
  <si>
    <t>2</t>
  </si>
  <si>
    <t>Add each stressed change to the original amount.</t>
  </si>
  <si>
    <t>3</t>
  </si>
  <si>
    <t>Compare the stressed total with the original CAD 10,000 portfolio.</t>
  </si>
  <si>
    <t>ETF Input Data</t>
  </si>
  <si>
    <t>Illustrative educational inputs used by the Python allocator; not market forecasts or investment advice.</t>
  </si>
  <si>
    <t>Vanguard S&amp;P 500 Index ETF</t>
  </si>
  <si>
    <t>iShares Core S&amp;P/TSX Capped Composite ETF</t>
  </si>
  <si>
    <t>iShares Core MSCI EAFE IMI Index ETF</t>
  </si>
  <si>
    <t>iShares Core Canadian Universe Bond Index ETF</t>
  </si>
  <si>
    <t>iShares Gold Bullion ETF</t>
  </si>
  <si>
    <t>The five rows match the sample portfolio produced by etf_allocator.py.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</si>
</sst>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\$#,##0"/>
  </numFmts>
  <fonts count="11">
    <font>
      <sz val="11"/>
      <name val="Carlito"/>
    </font>
    <font>
      <sz val="10"/>
      <name val="Aptos"/>
    </font>
    <font>
      <b/>
      <sz val="16"/>
      <color rgb="FFFFFFFF"/>
      <name val="Aptos"/>
    </font>
    <font>
      <i/>
      <sz val="10"/>
      <color rgb="FF404040"/>
      <name val="Aptos"/>
    </font>
    <font>
      <b/>
      <sz val="10"/>
      <color rgb="FFFFFFFF"/>
      <name val="Aptos"/>
    </font>
    <font>
      <i/>
      <sz val="10"/>
      <color rgb="FF666666"/>
      <name val="Aptos"/>
    </font>
    <font>
      <b/>
      <sz val="17"/>
      <color rgb="FFFFFFFF"/>
      <name val="Aptos"/>
    </font>
    <font>
      <i/>
      <sz val="10"/>
      <color rgb="FF17365D"/>
      <name val="Aptos"/>
    </font>
    <font>
      <b/>
      <sz val="10"/>
      <color rgb="FF0070C0"/>
      <name val="Aptos"/>
    </font>
    <font>
      <b/>
      <sz val="10"/>
      <name val="Aptos"/>
    </font>
    <font>
      <b/>
      <sz val="10"/>
      <color rgb="FF17365D"/>
      <name val="Aptos"/>
    </font>
  </fonts>
  <fills count="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EAF2F8"/>
      </patternFill>
    </fill>
    <fill>
      <patternFill patternType="solid">
        <fgColor rgb="FFF2F2F2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E2F0D9"/>
      </patternFill>
    </fill>
    <fill>
      <patternFill patternType="solid">
        <fgColor rgb="FFFCE4D6"/>
      </patternFill>
    </fill>
  </fills>
  <borders count="3">
    <border>
      <left/>
      <right/>
      <top/>
      <bottom/>
      <diagonal/>
    </border>
    <border>
      <left style="thin">
        <color rgb="FFB7C9DD"/>
      </left>
      <right style="thin">
        <color rgb="FFB7C9DD"/>
      </right>
      <top style="thin">
        <color rgb="FFB7C9DD"/>
      </top>
      <bottom style="thin">
        <color rgb="FFB7C9DD"/>
      </bottom>
      <diagonal/>
    </border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4" fillId="2" borderId="0" xfId="0" applyFont="1" applyFill="1" applyAlignment="1">
      <alignment wrapText="1"/>
    </xf>
    <xf numFmtId="0" fontId="4" fillId="2" borderId="1" xfId="0" applyFont="1" applyFill="1" applyBorder="1" applyAlignment="1">
      <alignment wrapText="1"/>
    </xf>
    <xf numFmtId="0" fontId="1" fillId="0" borderId="1" xfId="0" applyFont="1" applyBorder="1"/>
    <xf numFmtId="164" fontId="1" fillId="0" borderId="1" xfId="0" applyNumberFormat="1" applyFont="1" applyBorder="1"/>
    <xf numFmtId="165" fontId="1" fillId="0" borderId="1" xfId="0" applyNumberFormat="1" applyFont="1" applyBorder="1"/>
    <xf numFmtId="0" fontId="4" fillId="2" borderId="1" xfId="0" applyFont="1" applyFill="1" applyBorder="1"/>
    <xf numFmtId="166" fontId="8" fillId="6" borderId="1" xfId="0" applyNumberFormat="1" applyFont="1" applyFill="1" applyBorder="1"/>
    <xf numFmtId="164" fontId="8" fillId="6" borderId="1" xfId="0" applyNumberFormat="1" applyFont="1" applyFill="1" applyBorder="1"/>
    <xf numFmtId="10" fontId="1" fillId="0" borderId="1" xfId="0" applyNumberFormat="1" applyFont="1" applyBorder="1"/>
    <xf numFmtId="166" fontId="1" fillId="0" borderId="1" xfId="0" applyNumberFormat="1" applyFont="1" applyBorder="1"/>
    <xf numFmtId="166" fontId="1" fillId="7" borderId="1" xfId="0" applyNumberFormat="1" applyFont="1" applyFill="1" applyBorder="1"/>
    <xf numFmtId="166" fontId="1" fillId="8" borderId="1" xfId="0" applyNumberFormat="1" applyFont="1" applyFill="1" applyBorder="1"/>
    <xf numFmtId="0" fontId="1" fillId="0" borderId="2" xfId="0" applyFont="1" applyBorder="1"/>
    <xf numFmtId="0" fontId="9" fillId="4" borderId="2" xfId="0" applyFont="1" applyFill="1" applyBorder="1"/>
    <xf numFmtId="164" fontId="1" fillId="0" borderId="2" xfId="0" applyNumberFormat="1" applyFont="1" applyBorder="1"/>
    <xf numFmtId="164" fontId="9" fillId="4" borderId="2" xfId="0" applyNumberFormat="1" applyFont="1" applyFill="1" applyBorder="1"/>
    <xf numFmtId="166" fontId="1" fillId="0" borderId="2" xfId="0" applyNumberFormat="1" applyFont="1" applyBorder="1"/>
    <xf numFmtId="166" fontId="9" fillId="4" borderId="2" xfId="0" applyNumberFormat="1" applyFont="1" applyFill="1" applyBorder="1"/>
    <xf numFmtId="165" fontId="1" fillId="0" borderId="2" xfId="0" applyNumberFormat="1" applyFont="1" applyBorder="1"/>
    <xf numFmtId="0" fontId="9" fillId="4" borderId="1" xfId="0" applyFont="1" applyFill="1" applyBorder="1"/>
    <xf numFmtId="164" fontId="9" fillId="4" borderId="1" xfId="0" applyNumberFormat="1" applyFont="1" applyFill="1" applyBorder="1"/>
    <xf numFmtId="166" fontId="9" fillId="4" borderId="1" xfId="0" applyNumberFormat="1" applyFont="1" applyFill="1" applyBorder="1"/>
    <xf numFmtId="0" fontId="4" fillId="2" borderId="2" xfId="0" applyFont="1" applyFill="1" applyBorder="1" applyAlignment="1">
      <alignment horizontal="center"/>
    </xf>
    <xf numFmtId="0" fontId="6" fillId="2" borderId="0" xfId="0" applyFont="1" applyFill="1" applyAlignment="1">
      <alignment vertical="center"/>
    </xf>
    <xf numFmtId="0" fontId="7" fillId="5" borderId="0" xfId="0" applyFont="1" applyFill="1"/>
    <xf numFmtId="0" fontId="10" fillId="5" borderId="2" xfId="0" applyFont="1" applyFill="1" applyBorder="1"/>
    <xf numFmtId="0" fontId="1" fillId="0" borderId="2" xfId="0" applyFont="1" applyBorder="1"/>
    <xf numFmtId="0" fontId="2" fillId="2" borderId="0" xfId="0" applyFont="1" applyFill="1" applyAlignment="1">
      <alignment vertical="center"/>
    </xf>
    <xf numFmtId="0" fontId="3" fillId="3" borderId="0" xfId="0" applyFont="1" applyFill="1" applyAlignment="1">
      <alignment wrapText="1"/>
    </xf>
    <xf numFmtId="0" fontId="5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/>
          <a:lstStyle/>
          <a:p>
            <a:r>
              <a:rPr lang="en-CA" sz="1050">
                <a:latin typeface="Aptos"/>
                <a:ea typeface="Aptos"/>
                <a:cs typeface="Aptos"/>
              </a:rPr>
              <a:t>Allocation by Asset Class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v>Allocation %</c:v>
          </c:tx>
          <c:cat>
            <c:strRef>
              <c:f>'Portfolio Summary'!$A$22:$A$24</c:f>
              <c:strCache>
                <c:ptCount val="3"/>
                <c:pt idx="0">
                  <c:v>Equity</c:v>
                </c:pt>
                <c:pt idx="1">
                  <c:v>Bond</c:v>
                </c:pt>
                <c:pt idx="2">
                  <c:v>Gold</c:v>
                </c:pt>
              </c:strCache>
            </c:strRef>
          </c:cat>
          <c:val>
            <c:numRef>
              <c:f>'Portfolio Summary'!$B$22:$B$24</c:f>
              <c:numCache>
                <c:formatCode>0.0%</c:formatCode>
                <c:ptCount val="3"/>
                <c:pt idx="0">
                  <c:v>0.6</c:v>
                </c:pt>
                <c:pt idx="1">
                  <c:v>0.3</c:v>
                </c:pt>
                <c:pt idx="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67-C34F-A16A-C4BA65532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0"/>
      </c:doughnutChart>
    </c:plotArea>
    <c:legend>
      <c:legendPos val="r"/>
      <c:overlay val="0"/>
      <c:txPr>
        <a:bodyPr anchorCtr="1"/>
        <a:lstStyle/>
        <a:p>
          <a:pPr>
            <a:defRPr>
              <a:latin typeface="Aptos"/>
              <a:ea typeface="Aptos"/>
              <a:cs typeface="Aptos"/>
            </a:defRPr>
          </a:pPr>
          <a:endParaRPr lang="en-US"/>
        </a:p>
      </c:txPr>
    </c:legend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19</xdr:row>
      <xdr:rowOff>0</xdr:rowOff>
    </xdr:from>
    <xdr:to>
      <xdr:col>12</xdr:col>
      <xdr:colOff>0</xdr:colOff>
      <xdr:row>34</xdr:row>
      <xdr:rowOff>0</xdr:rowOff>
    </xdr:to>
    <xdr:graphicFrame macro="">
      <xdr:nvGraphicFramePr>
        <xdr:cNvPr id="2" name="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60"/>
  <sheetViews>
    <sheetView showGridLines="0" tabSelected="1" workbookViewId="0">
      <pane ySplit="2" topLeftCell="A3" activePane="bottomLeft" state="frozen"/>
      <selection pane="bottomLeft" sqref="A1:L1"/>
    </sheetView>
  </sheetViews>
  <sheetFormatPr baseColWidth="10" defaultColWidth="8.83203125" defaultRowHeight="14"/>
  <cols>
    <col min="1" max="1" width="20" customWidth="1"/>
    <col min="2" max="2" width="34" customWidth="1"/>
    <col min="3" max="3" width="14" customWidth="1"/>
    <col min="4" max="4" width="22" customWidth="1"/>
    <col min="5" max="5" width="17" customWidth="1"/>
    <col min="6" max="7" width="15" customWidth="1"/>
    <col min="8" max="12" width="14" customWidth="1"/>
  </cols>
  <sheetData>
    <row r="1" spans="1:17" ht="20.25" customHeight="1">
      <c r="A1" s="25" t="s">
        <v>0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1"/>
      <c r="N1" s="1"/>
      <c r="O1" s="1"/>
      <c r="P1" s="1"/>
      <c r="Q1" s="1"/>
    </row>
    <row r="2" spans="1:17" ht="15" customHeight="1">
      <c r="A2" s="26" t="s">
        <v>1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1"/>
      <c r="N2" s="1"/>
      <c r="O2" s="1"/>
      <c r="P2" s="1"/>
      <c r="Q2" s="1"/>
    </row>
    <row r="3" spans="1:17" ht="1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5" customHeight="1">
      <c r="A4" s="7" t="s">
        <v>2</v>
      </c>
      <c r="B4" s="7" t="s">
        <v>3</v>
      </c>
      <c r="C4" s="1"/>
      <c r="D4" s="7" t="s">
        <v>4</v>
      </c>
      <c r="E4" s="7" t="s">
        <v>5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15" customHeight="1">
      <c r="A5" s="4" t="s">
        <v>6</v>
      </c>
      <c r="B5" s="8">
        <v>10000</v>
      </c>
      <c r="C5" s="1"/>
      <c r="D5" s="4" t="s">
        <v>7</v>
      </c>
      <c r="E5" s="10">
        <f>SUM(D12:D16)</f>
        <v>0.99999999999999989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ht="15" customHeight="1">
      <c r="A6" s="4" t="s">
        <v>8</v>
      </c>
      <c r="B6" s="9">
        <v>-0.15</v>
      </c>
      <c r="C6" s="1"/>
      <c r="D6" s="4" t="s">
        <v>9</v>
      </c>
      <c r="E6" s="10">
        <f>SUMPRODUCT(D12:D16,F12:F16)</f>
        <v>7.4500000000000011E-2</v>
      </c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ht="15" customHeight="1">
      <c r="A7" s="4" t="s">
        <v>10</v>
      </c>
      <c r="B7" s="9">
        <v>-0.03</v>
      </c>
      <c r="C7" s="1"/>
      <c r="D7" s="4" t="s">
        <v>11</v>
      </c>
      <c r="E7" s="10">
        <f>SUMPRODUCT(D12:D16,G12:G16)</f>
        <v>0.13750000000000001</v>
      </c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ht="15" customHeight="1">
      <c r="A8" s="4" t="s">
        <v>12</v>
      </c>
      <c r="B8" s="9">
        <v>0.05</v>
      </c>
      <c r="C8" s="1"/>
      <c r="D8" s="4" t="s">
        <v>13</v>
      </c>
      <c r="E8" s="12">
        <f>SUM(L12:L16)</f>
        <v>9060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ht="15" customHeight="1">
      <c r="A9" s="1"/>
      <c r="B9" s="1"/>
      <c r="C9" s="1"/>
      <c r="D9" s="4" t="s">
        <v>14</v>
      </c>
      <c r="E9" s="13">
        <f>E8-$B$5</f>
        <v>-940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ht="1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ht="15" customHeight="1">
      <c r="A11" s="2" t="s">
        <v>15</v>
      </c>
      <c r="B11" s="2" t="s">
        <v>16</v>
      </c>
      <c r="C11" s="2" t="s">
        <v>17</v>
      </c>
      <c r="D11" s="2" t="s">
        <v>18</v>
      </c>
      <c r="E11" s="2" t="s">
        <v>19</v>
      </c>
      <c r="F11" s="2" t="s">
        <v>20</v>
      </c>
      <c r="G11" s="2" t="s">
        <v>21</v>
      </c>
      <c r="H11" s="2" t="s">
        <v>22</v>
      </c>
      <c r="I11" s="2" t="s">
        <v>23</v>
      </c>
      <c r="J11" s="2" t="s">
        <v>24</v>
      </c>
      <c r="K11" s="2" t="s">
        <v>25</v>
      </c>
      <c r="L11" s="2" t="s">
        <v>26</v>
      </c>
      <c r="M11" s="1"/>
      <c r="N11" s="1"/>
      <c r="O11" s="1"/>
      <c r="P11" s="1"/>
      <c r="Q11" s="1"/>
    </row>
    <row r="12" spans="1:17" ht="15" customHeight="1">
      <c r="A12" s="14" t="s">
        <v>27</v>
      </c>
      <c r="B12" s="14" t="str">
        <f>'ETF Data'!B5</f>
        <v>Vanguard S&amp;P 500 Index ETF</v>
      </c>
      <c r="C12" s="14" t="str">
        <f>'ETF Data'!C5</f>
        <v>Equity</v>
      </c>
      <c r="D12" s="16">
        <f>'ETF Data'!D5</f>
        <v>0.25</v>
      </c>
      <c r="E12" s="18">
        <f>D12*$B$5</f>
        <v>2500</v>
      </c>
      <c r="F12" s="16">
        <f>'ETF Data'!E5</f>
        <v>0.12</v>
      </c>
      <c r="G12" s="16">
        <f>'ETF Data'!F5</f>
        <v>0.18</v>
      </c>
      <c r="H12" s="20">
        <f>'ETF Data'!G5</f>
        <v>80</v>
      </c>
      <c r="I12" s="20">
        <f>'ETF Data'!H5</f>
        <v>112</v>
      </c>
      <c r="J12" s="16">
        <f>IF(C12="Equity",$B$6,IF(C12="Bond",$B$7,$B$8))</f>
        <v>-0.15</v>
      </c>
      <c r="K12" s="18">
        <f>E12*J12</f>
        <v>-375</v>
      </c>
      <c r="L12" s="18">
        <f>E12+K12</f>
        <v>2125</v>
      </c>
      <c r="M12" s="1"/>
      <c r="N12" s="1"/>
      <c r="O12" s="1"/>
      <c r="P12" s="1"/>
      <c r="Q12" s="1"/>
    </row>
    <row r="13" spans="1:17" ht="15" customHeight="1">
      <c r="A13" s="14" t="s">
        <v>28</v>
      </c>
      <c r="B13" s="14" t="str">
        <f>'ETF Data'!B6</f>
        <v>iShares Core S&amp;P/TSX Capped Composite ETF</v>
      </c>
      <c r="C13" s="14" t="str">
        <f>'ETF Data'!C6</f>
        <v>Equity</v>
      </c>
      <c r="D13" s="16">
        <f>'ETF Data'!D6</f>
        <v>0.2</v>
      </c>
      <c r="E13" s="18">
        <f>D13*$B$5</f>
        <v>2000</v>
      </c>
      <c r="F13" s="16">
        <f>'ETF Data'!E6</f>
        <v>0.08</v>
      </c>
      <c r="G13" s="16">
        <f>'ETF Data'!F6</f>
        <v>0.16</v>
      </c>
      <c r="H13" s="20">
        <f>'ETF Data'!G6</f>
        <v>75</v>
      </c>
      <c r="I13" s="20">
        <f>'ETF Data'!H6</f>
        <v>97.5</v>
      </c>
      <c r="J13" s="16">
        <f>IF(C13="Equity",$B$6,IF(C13="Bond",$B$7,$B$8))</f>
        <v>-0.15</v>
      </c>
      <c r="K13" s="18">
        <f>E13*J13</f>
        <v>-300</v>
      </c>
      <c r="L13" s="18">
        <f>E13+K13</f>
        <v>1700</v>
      </c>
      <c r="M13" s="1"/>
      <c r="N13" s="1"/>
      <c r="O13" s="1"/>
      <c r="P13" s="1"/>
      <c r="Q13" s="1"/>
    </row>
    <row r="14" spans="1:17" ht="15" customHeight="1">
      <c r="A14" s="14" t="s">
        <v>29</v>
      </c>
      <c r="B14" s="14" t="str">
        <f>'ETF Data'!B7</f>
        <v>iShares Core MSCI EAFE IMI Index ETF</v>
      </c>
      <c r="C14" s="14" t="str">
        <f>'ETF Data'!C7</f>
        <v>Equity</v>
      </c>
      <c r="D14" s="16">
        <f>'ETF Data'!D7</f>
        <v>0.15</v>
      </c>
      <c r="E14" s="18">
        <f>D14*$B$5</f>
        <v>1500</v>
      </c>
      <c r="F14" s="16">
        <f>'ETF Data'!E7</f>
        <v>7.0000000000000007E-2</v>
      </c>
      <c r="G14" s="16">
        <f>'ETF Data'!F7</f>
        <v>0.17</v>
      </c>
      <c r="H14" s="20">
        <f>'ETF Data'!G7</f>
        <v>85</v>
      </c>
      <c r="I14" s="20">
        <f>'ETF Data'!H7</f>
        <v>96.5</v>
      </c>
      <c r="J14" s="16">
        <f>IF(C14="Equity",$B$6,IF(C14="Bond",$B$7,$B$8))</f>
        <v>-0.15</v>
      </c>
      <c r="K14" s="18">
        <f>E14*J14</f>
        <v>-225</v>
      </c>
      <c r="L14" s="18">
        <f>E14+K14</f>
        <v>1275</v>
      </c>
      <c r="M14" s="1"/>
      <c r="N14" s="1"/>
      <c r="O14" s="1"/>
      <c r="P14" s="1"/>
      <c r="Q14" s="1"/>
    </row>
    <row r="15" spans="1:17" ht="15" customHeight="1">
      <c r="A15" s="14" t="s">
        <v>30</v>
      </c>
      <c r="B15" s="14" t="str">
        <f>'ETF Data'!B8</f>
        <v>iShares Core Canadian Universe Bond Index ETF</v>
      </c>
      <c r="C15" s="14" t="str">
        <f>'ETF Data'!C8</f>
        <v>Bond</v>
      </c>
      <c r="D15" s="16">
        <f>'ETF Data'!D8</f>
        <v>0.3</v>
      </c>
      <c r="E15" s="18">
        <f>D15*$B$5</f>
        <v>3000</v>
      </c>
      <c r="F15" s="16">
        <f>'ETF Data'!E8</f>
        <v>0.04</v>
      </c>
      <c r="G15" s="16">
        <f>'ETF Data'!F8</f>
        <v>7.0000000000000007E-2</v>
      </c>
      <c r="H15" s="20">
        <f>'ETF Data'!G8</f>
        <v>70</v>
      </c>
      <c r="I15" s="20">
        <f>'ETF Data'!H8</f>
        <v>97</v>
      </c>
      <c r="J15" s="16">
        <f>IF(C15="Equity",$B$6,IF(C15="Bond",$B$7,$B$8))</f>
        <v>-0.03</v>
      </c>
      <c r="K15" s="18">
        <f>E15*J15</f>
        <v>-90</v>
      </c>
      <c r="L15" s="18">
        <f>E15+K15</f>
        <v>2910</v>
      </c>
      <c r="M15" s="1"/>
      <c r="N15" s="1"/>
      <c r="O15" s="1"/>
      <c r="P15" s="1"/>
      <c r="Q15" s="1"/>
    </row>
    <row r="16" spans="1:17" ht="15" customHeight="1">
      <c r="A16" s="14" t="s">
        <v>31</v>
      </c>
      <c r="B16" s="14" t="str">
        <f>'ETF Data'!B9</f>
        <v>iShares Gold Bullion ETF</v>
      </c>
      <c r="C16" s="14" t="str">
        <f>'ETF Data'!C9</f>
        <v>Gold</v>
      </c>
      <c r="D16" s="16">
        <f>'ETF Data'!D9</f>
        <v>0.1</v>
      </c>
      <c r="E16" s="18">
        <f>D16*$B$5</f>
        <v>1000</v>
      </c>
      <c r="F16" s="16">
        <f>'ETF Data'!E9</f>
        <v>0.06</v>
      </c>
      <c r="G16" s="16">
        <f>'ETF Data'!F9</f>
        <v>0.14000000000000001</v>
      </c>
      <c r="H16" s="20">
        <f>'ETF Data'!G9</f>
        <v>78</v>
      </c>
      <c r="I16" s="20">
        <f>'ETF Data'!H9</f>
        <v>95</v>
      </c>
      <c r="J16" s="16">
        <f>IF(C16="Equity",$B$6,IF(C16="Bond",$B$7,$B$8))</f>
        <v>0.05</v>
      </c>
      <c r="K16" s="18">
        <f>E16*J16</f>
        <v>50</v>
      </c>
      <c r="L16" s="18">
        <f>E16+K16</f>
        <v>1050</v>
      </c>
      <c r="M16" s="1"/>
      <c r="N16" s="1"/>
      <c r="O16" s="1"/>
      <c r="P16" s="1"/>
      <c r="Q16" s="1"/>
    </row>
    <row r="17" spans="1:17" ht="15" customHeight="1">
      <c r="A17" s="15" t="s">
        <v>32</v>
      </c>
      <c r="B17" s="15"/>
      <c r="C17" s="15"/>
      <c r="D17" s="17">
        <f>SUM(D12:D16)</f>
        <v>0.99999999999999989</v>
      </c>
      <c r="E17" s="19">
        <f>SUM(E12:E16)</f>
        <v>10000</v>
      </c>
      <c r="F17" s="15"/>
      <c r="G17" s="15"/>
      <c r="H17" s="15"/>
      <c r="I17" s="15"/>
      <c r="J17" s="15"/>
      <c r="K17" s="19">
        <f>SUM(K12:K16)</f>
        <v>-940</v>
      </c>
      <c r="L17" s="19">
        <f>SUM(L12:L16)</f>
        <v>9060</v>
      </c>
      <c r="M17" s="1"/>
      <c r="N17" s="1"/>
      <c r="O17" s="1"/>
      <c r="P17" s="1"/>
      <c r="Q17" s="1"/>
    </row>
    <row r="18" spans="1:17" ht="15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 ht="15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1:17" ht="1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ht="15" customHeight="1">
      <c r="A21" s="7" t="s">
        <v>17</v>
      </c>
      <c r="B21" s="7" t="s">
        <v>18</v>
      </c>
      <c r="C21" s="7" t="s">
        <v>19</v>
      </c>
      <c r="D21" s="7" t="s">
        <v>25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ht="15" customHeight="1">
      <c r="A22" s="4" t="s">
        <v>33</v>
      </c>
      <c r="B22" s="5">
        <f>SUMIF($C$12:$C$16,A22,$D$12:$D$16)</f>
        <v>0.6</v>
      </c>
      <c r="C22" s="11">
        <f>SUMIF($C$12:$C$16,A22,$E$12:$E$16)</f>
        <v>6000</v>
      </c>
      <c r="D22" s="11">
        <f>SUMIF($C$12:$C$16,A22,$K$12:$K$16)</f>
        <v>-900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ht="15" customHeight="1">
      <c r="A23" s="4" t="s">
        <v>34</v>
      </c>
      <c r="B23" s="5">
        <f>SUMIF($C$12:$C$16,A23,$D$12:$D$16)</f>
        <v>0.3</v>
      </c>
      <c r="C23" s="11">
        <f>SUMIF($C$12:$C$16,A23,$E$12:$E$16)</f>
        <v>3000</v>
      </c>
      <c r="D23" s="11">
        <f>SUMIF($C$12:$C$16,A23,$K$12:$K$16)</f>
        <v>-90</v>
      </c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ht="15" customHeight="1">
      <c r="A24" s="4" t="s">
        <v>35</v>
      </c>
      <c r="B24" s="5">
        <f>SUMIF($C$12:$C$16,A24,$D$12:$D$16)</f>
        <v>0.1</v>
      </c>
      <c r="C24" s="11">
        <f>SUMIF($C$12:$C$16,A24,$E$12:$E$16)</f>
        <v>1000</v>
      </c>
      <c r="D24" s="11">
        <f>SUMIF($C$12:$C$16,A24,$K$12:$K$16)</f>
        <v>50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ht="15" customHeight="1">
      <c r="A25" s="21" t="s">
        <v>32</v>
      </c>
      <c r="B25" s="22">
        <f>SUM(B22:B24)</f>
        <v>0.99999999999999989</v>
      </c>
      <c r="C25" s="23">
        <f>SUM(C22:C24)</f>
        <v>10000</v>
      </c>
      <c r="D25" s="23">
        <f>SUM(D22:D24)</f>
        <v>-940</v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ht="1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ht="1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ht="15" customHeight="1">
      <c r="A28" s="27" t="s">
        <v>36</v>
      </c>
      <c r="B28" s="27"/>
      <c r="C28" s="27"/>
      <c r="D28" s="27"/>
      <c r="E28" s="27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ht="15" customHeight="1">
      <c r="A29" s="24" t="s">
        <v>37</v>
      </c>
      <c r="B29" s="28" t="s">
        <v>38</v>
      </c>
      <c r="C29" s="28"/>
      <c r="D29" s="28"/>
      <c r="E29" s="28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1:17" ht="15" customHeight="1">
      <c r="A30" s="24" t="s">
        <v>39</v>
      </c>
      <c r="B30" s="28" t="s">
        <v>40</v>
      </c>
      <c r="C30" s="28"/>
      <c r="D30" s="28"/>
      <c r="E30" s="28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1:17" ht="15" customHeight="1">
      <c r="A31" s="24" t="s">
        <v>41</v>
      </c>
      <c r="B31" s="28" t="s">
        <v>42</v>
      </c>
      <c r="C31" s="28"/>
      <c r="D31" s="28"/>
      <c r="E31" s="28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1:17" ht="1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1:17" ht="1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1:17" ht="1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</row>
    <row r="35" spans="1:17" ht="1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</row>
    <row r="36" spans="1:17" ht="1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1:17" ht="1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</row>
    <row r="38" spans="1:17" ht="1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  <row r="39" spans="1:17" ht="1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</row>
    <row r="40" spans="1:17" ht="1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</row>
    <row r="41" spans="1:17" ht="1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</row>
    <row r="42" spans="1:17" ht="1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</row>
    <row r="43" spans="1:17" ht="1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</row>
    <row r="44" spans="1:17" ht="1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</row>
    <row r="45" spans="1:17" ht="1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</row>
    <row r="46" spans="1:17" ht="1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</row>
    <row r="47" spans="1:17" ht="1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</row>
    <row r="48" spans="1:17" ht="1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</row>
    <row r="49" spans="1:17" ht="1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</row>
    <row r="50" spans="1:17" ht="1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</row>
    <row r="51" spans="1:17" ht="1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</row>
    <row r="52" spans="1:17" ht="1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</row>
    <row r="53" spans="1:17" ht="1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</row>
    <row r="54" spans="1:17" ht="1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</row>
    <row r="55" spans="1:17" ht="1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</row>
    <row r="56" spans="1:17" ht="1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</row>
    <row r="57" spans="1:17" ht="1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</row>
    <row r="58" spans="1:17" ht="1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</row>
    <row r="59" spans="1:17" ht="1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</row>
    <row r="60" spans="1:17" ht="1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</row>
  </sheetData>
  <mergeCells count="6">
    <mergeCell ref="B31:E31"/>
    <mergeCell ref="A1:L1"/>
    <mergeCell ref="A2:L2"/>
    <mergeCell ref="A28:E28"/>
    <mergeCell ref="B29:E29"/>
    <mergeCell ref="B30:E3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Q60"/>
  <sheetViews>
    <sheetView showGridLines="0" workbookViewId="0">
      <pane ySplit="4" topLeftCell="A5" activePane="bottomLeft" state="frozen"/>
      <selection pane="bottomLeft"/>
    </sheetView>
  </sheetViews>
  <sheetFormatPr baseColWidth="10" defaultColWidth="8.83203125" defaultRowHeight="14"/>
  <cols>
    <col min="1" max="1" width="11" customWidth="1"/>
    <col min="2" max="2" width="42" customWidth="1"/>
    <col min="3" max="3" width="14" customWidth="1"/>
    <col min="4" max="8" width="16" customWidth="1"/>
  </cols>
  <sheetData>
    <row r="1" spans="1:17" ht="19.25" customHeight="1">
      <c r="A1" s="29" t="s">
        <v>43</v>
      </c>
      <c r="B1" s="29"/>
      <c r="C1" s="29"/>
      <c r="D1" s="29"/>
      <c r="E1" s="29"/>
      <c r="F1" s="29"/>
      <c r="G1" s="29"/>
      <c r="H1" s="29"/>
      <c r="I1" s="1"/>
      <c r="J1" s="1"/>
      <c r="K1" s="1"/>
      <c r="L1" s="1"/>
      <c r="M1" s="1"/>
      <c r="N1" s="1"/>
      <c r="O1" s="1"/>
      <c r="P1" s="1"/>
      <c r="Q1" s="1"/>
    </row>
    <row r="2" spans="1:17" ht="15" customHeight="1">
      <c r="A2" s="30" t="s">
        <v>44</v>
      </c>
      <c r="B2" s="30"/>
      <c r="C2" s="30"/>
      <c r="D2" s="30"/>
      <c r="E2" s="30"/>
      <c r="F2" s="30"/>
      <c r="G2" s="30"/>
      <c r="H2" s="30"/>
      <c r="I2" s="1"/>
      <c r="J2" s="1"/>
      <c r="K2" s="1"/>
      <c r="L2" s="1"/>
      <c r="M2" s="1"/>
      <c r="N2" s="1"/>
      <c r="O2" s="1"/>
      <c r="P2" s="1"/>
      <c r="Q2" s="1"/>
    </row>
    <row r="3" spans="1:17" ht="1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24" customHeight="1">
      <c r="A4" s="3" t="s">
        <v>15</v>
      </c>
      <c r="B4" s="3" t="s">
        <v>16</v>
      </c>
      <c r="C4" s="3" t="s">
        <v>17</v>
      </c>
      <c r="D4" s="3" t="s">
        <v>18</v>
      </c>
      <c r="E4" s="3" t="s">
        <v>20</v>
      </c>
      <c r="F4" s="3" t="s">
        <v>21</v>
      </c>
      <c r="G4" s="3" t="s">
        <v>22</v>
      </c>
      <c r="H4" s="3" t="s">
        <v>23</v>
      </c>
      <c r="I4" s="1"/>
      <c r="J4" s="1"/>
      <c r="K4" s="1"/>
      <c r="L4" s="1"/>
      <c r="M4" s="1"/>
      <c r="N4" s="1"/>
      <c r="O4" s="1"/>
      <c r="P4" s="1"/>
      <c r="Q4" s="1"/>
    </row>
    <row r="5" spans="1:17" ht="15" customHeight="1">
      <c r="A5" s="4" t="s">
        <v>27</v>
      </c>
      <c r="B5" s="4" t="s">
        <v>45</v>
      </c>
      <c r="C5" s="4" t="s">
        <v>33</v>
      </c>
      <c r="D5" s="5">
        <v>0.25</v>
      </c>
      <c r="E5" s="5">
        <v>0.12</v>
      </c>
      <c r="F5" s="5">
        <v>0.18</v>
      </c>
      <c r="G5" s="6">
        <v>80</v>
      </c>
      <c r="H5" s="6">
        <v>112</v>
      </c>
      <c r="I5" s="1"/>
      <c r="J5" s="1"/>
      <c r="K5" s="1"/>
      <c r="L5" s="1"/>
      <c r="M5" s="1"/>
      <c r="N5" s="1"/>
      <c r="O5" s="1"/>
      <c r="P5" s="1"/>
      <c r="Q5" s="1"/>
    </row>
    <row r="6" spans="1:17" ht="15" customHeight="1">
      <c r="A6" s="4" t="s">
        <v>28</v>
      </c>
      <c r="B6" s="4" t="s">
        <v>46</v>
      </c>
      <c r="C6" s="4" t="s">
        <v>33</v>
      </c>
      <c r="D6" s="5">
        <v>0.2</v>
      </c>
      <c r="E6" s="5">
        <v>0.08</v>
      </c>
      <c r="F6" s="5">
        <v>0.16</v>
      </c>
      <c r="G6" s="6">
        <v>75</v>
      </c>
      <c r="H6" s="6">
        <v>97.5</v>
      </c>
      <c r="I6" s="1"/>
      <c r="J6" s="1"/>
      <c r="K6" s="1"/>
      <c r="L6" s="1"/>
      <c r="M6" s="1"/>
      <c r="N6" s="1"/>
      <c r="O6" s="1"/>
      <c r="P6" s="1"/>
      <c r="Q6" s="1"/>
    </row>
    <row r="7" spans="1:17" ht="15" customHeight="1">
      <c r="A7" s="4" t="s">
        <v>29</v>
      </c>
      <c r="B7" s="4" t="s">
        <v>47</v>
      </c>
      <c r="C7" s="4" t="s">
        <v>33</v>
      </c>
      <c r="D7" s="5">
        <v>0.15</v>
      </c>
      <c r="E7" s="5">
        <v>7.0000000000000007E-2</v>
      </c>
      <c r="F7" s="5">
        <v>0.17</v>
      </c>
      <c r="G7" s="6">
        <v>85</v>
      </c>
      <c r="H7" s="6">
        <v>96.5</v>
      </c>
      <c r="I7" s="1"/>
      <c r="J7" s="1"/>
      <c r="K7" s="1"/>
      <c r="L7" s="1"/>
      <c r="M7" s="1"/>
      <c r="N7" s="1"/>
      <c r="O7" s="1"/>
      <c r="P7" s="1"/>
      <c r="Q7" s="1"/>
    </row>
    <row r="8" spans="1:17" ht="15" customHeight="1">
      <c r="A8" s="4" t="s">
        <v>30</v>
      </c>
      <c r="B8" s="4" t="s">
        <v>48</v>
      </c>
      <c r="C8" s="4" t="s">
        <v>34</v>
      </c>
      <c r="D8" s="5">
        <v>0.3</v>
      </c>
      <c r="E8" s="5">
        <v>0.04</v>
      </c>
      <c r="F8" s="5">
        <v>7.0000000000000007E-2</v>
      </c>
      <c r="G8" s="6">
        <v>70</v>
      </c>
      <c r="H8" s="6">
        <v>97</v>
      </c>
      <c r="I8" s="1"/>
      <c r="J8" s="1"/>
      <c r="K8" s="1"/>
      <c r="L8" s="1"/>
      <c r="M8" s="1"/>
      <c r="N8" s="1"/>
      <c r="O8" s="1"/>
      <c r="P8" s="1"/>
      <c r="Q8" s="1"/>
    </row>
    <row r="9" spans="1:17" ht="15" customHeight="1">
      <c r="A9" s="4" t="s">
        <v>31</v>
      </c>
      <c r="B9" s="4" t="s">
        <v>49</v>
      </c>
      <c r="C9" s="4" t="s">
        <v>35</v>
      </c>
      <c r="D9" s="5">
        <v>0.1</v>
      </c>
      <c r="E9" s="5">
        <v>0.06</v>
      </c>
      <c r="F9" s="5">
        <v>0.14000000000000001</v>
      </c>
      <c r="G9" s="6">
        <v>78</v>
      </c>
      <c r="H9" s="6">
        <v>95</v>
      </c>
      <c r="I9" s="1"/>
      <c r="J9" s="1"/>
      <c r="K9" s="1"/>
      <c r="L9" s="1"/>
      <c r="M9" s="1"/>
      <c r="N9" s="1"/>
      <c r="O9" s="1"/>
      <c r="P9" s="1"/>
      <c r="Q9" s="1"/>
    </row>
    <row r="10" spans="1:17" ht="1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ht="15" customHeight="1">
      <c r="A11" s="31" t="s">
        <v>50</v>
      </c>
      <c r="B11" s="31"/>
      <c r="C11" s="31"/>
      <c r="D11" s="31"/>
      <c r="E11" s="31"/>
      <c r="F11" s="31"/>
      <c r="G11" s="31"/>
      <c r="H11" s="31"/>
      <c r="I11" s="1"/>
      <c r="J11" s="1"/>
      <c r="K11" s="1"/>
      <c r="L11" s="1"/>
      <c r="M11" s="1"/>
      <c r="N11" s="1"/>
      <c r="O11" s="1"/>
      <c r="P11" s="1"/>
      <c r="Q11" s="1"/>
    </row>
    <row r="12" spans="1:17" ht="1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ht="1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ht="1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ht="1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ht="1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ht="1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1:17" ht="1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 ht="1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1:17" ht="1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ht="1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ht="1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ht="1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ht="1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ht="1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ht="1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 ht="1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 ht="1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ht="1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1:17" ht="1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1:17" ht="1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1:17" ht="1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1:17" ht="1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1:17" ht="1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</row>
    <row r="35" spans="1:17" ht="1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</row>
    <row r="36" spans="1:17" ht="1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1:17" ht="1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</row>
    <row r="38" spans="1:17" ht="1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  <row r="39" spans="1:17" ht="1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</row>
    <row r="40" spans="1:17" ht="1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</row>
    <row r="41" spans="1:17" ht="1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</row>
    <row r="42" spans="1:17" ht="1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</row>
    <row r="43" spans="1:17" ht="1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</row>
    <row r="44" spans="1:17" ht="1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</row>
    <row r="45" spans="1:17" ht="1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</row>
    <row r="46" spans="1:17" ht="1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</row>
    <row r="47" spans="1:17" ht="1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</row>
    <row r="48" spans="1:17" ht="1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</row>
    <row r="49" spans="1:17" ht="1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</row>
    <row r="50" spans="1:17" ht="1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</row>
    <row r="51" spans="1:17" ht="1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</row>
    <row r="52" spans="1:17" ht="1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</row>
    <row r="53" spans="1:17" ht="1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</row>
    <row r="54" spans="1:17" ht="1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</row>
    <row r="55" spans="1:17" ht="1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</row>
    <row r="56" spans="1:17" ht="1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</row>
    <row r="57" spans="1:17" ht="1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</row>
    <row r="58" spans="1:17" ht="1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</row>
    <row r="59" spans="1:17" ht="1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</row>
    <row r="60" spans="1:17" ht="1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</row>
  </sheetData>
  <mergeCells count="3">
    <mergeCell ref="A1:H1"/>
    <mergeCell ref="A2:H2"/>
    <mergeCell ref="A11:H1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Portfolio Summary</vt:lpstr>
      <vt:lpstr>ETF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Hongyu Fan</cp:lastModifiedBy>
  <dcterms:created xsi:type="dcterms:W3CDTF">2026-10-03T05:34:49Z</dcterms:created>
  <dcterms:modified xsi:type="dcterms:W3CDTF">2026-10-03T05:34:49Z</dcterms:modified>
</cp:coreProperties>
</file>