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95c88e5da849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rtfolio Summary" sheetId="1" r:id="R4be74a85e6ec44e2"/>
    <x:sheet xmlns:r="http://schemas.openxmlformats.org/officeDocument/2006/relationships" name="ETF Data" sheetId="2" r:id="Rb6efc27d9be244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0.0"/>
    <x:numFmt numFmtId="202" formatCode="$#,##0"/>
    <x:numFmt numFmtId="203" formatCode="0.00%"/>
  </x:numFmts>
  <x:fonts count="11">
    <x:font>
      <x:sz val="11"/>
      <x:name val="Carlito"/>
    </x:font>
    <x:font>
      <x:sz val="10"/>
      <x:name val="Aptos"/>
    </x:font>
    <x:font>
      <x:b/>
      <x:sz val="16"/>
      <x:color rgb="FFFFFFFF"/>
      <x:name val="Aptos"/>
    </x:font>
    <x:font>
      <x:i/>
      <x:sz val="10"/>
      <x:color rgb="FF404040"/>
      <x:name val="Aptos"/>
    </x:font>
    <x:font>
      <x:b/>
      <x:sz val="10"/>
      <x:color rgb="FFFFFFFF"/>
      <x:name val="Aptos"/>
    </x:font>
    <x:font>
      <x:i/>
      <x:sz val="10"/>
      <x:color rgb="FF666666"/>
      <x:name val="Aptos"/>
    </x:font>
    <x:font>
      <x:b/>
      <x:sz val="17"/>
      <x:color rgb="FFFFFFFF"/>
      <x:name val="Aptos"/>
    </x:font>
    <x:font>
      <x:i/>
      <x:sz val="10"/>
      <x:color rgb="FF17365D"/>
      <x:name val="Aptos"/>
    </x:font>
    <x:font>
      <x:b/>
      <x:sz val="10"/>
      <x:color rgb="FF0070C0"/>
      <x:name val="Aptos"/>
    </x:font>
    <x:font>
      <x:b/>
      <x:sz val="10"/>
      <x:name val="Aptos"/>
    </x:font>
    <x:font>
      <x:b/>
      <x:sz val="10"/>
      <x:color rgb="FF17365D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3">
    <x:border/>
    <x:border>
      <x:left style="thin">
        <x:color rgb="FFB7C9DD"/>
      </x:left>
      <x:right style="thin">
        <x:color rgb="FFB7C9DD"/>
      </x:right>
      <x:top style="thin">
        <x:color rgb="FFB7C9DD"/>
      </x:top>
      <x:bottom style="thin">
        <x:color rgb="FFB7C9DD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/>
    <x:xf numFmtId="200" fontId="1" fillId="0" borderId="1" xfId="0" applyNumberFormat="1" applyFont="1" applyFill="1" applyBorder="1"/>
    <x:xf numFmtId="201" fontId="1" fillId="0" borderId="1" xfId="0" applyNumberFormat="1" applyFont="1" applyFill="1" applyBorder="1"/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7" fillId="5" borderId="0" xfId="0" applyNumberFormat="1" applyFont="1" applyFill="1" applyBorder="1"/>
    <x:xf numFmtId="0" fontId="4" fillId="2" borderId="1" xfId="0" applyNumberFormat="1" applyFont="1" applyFill="1" applyBorder="1"/>
    <x:xf numFmtId="0" fontId="1" fillId="6" borderId="1" xfId="0" applyNumberFormat="1" applyFont="1" applyFill="1" applyBorder="1"/>
    <x:xf numFmtId="0" fontId="8" fillId="6" borderId="1" xfId="0" applyNumberFormat="1" applyFont="1" applyFill="1" applyBorder="1"/>
    <x:xf numFmtId="202" fontId="8" fillId="6" borderId="1" xfId="0" applyNumberFormat="1" applyFont="1" applyFill="1" applyBorder="1"/>
    <x:xf numFmtId="200" fontId="8" fillId="6" borderId="1" xfId="0" applyNumberFormat="1" applyFont="1" applyFill="1" applyBorder="1"/>
    <x:xf numFmtId="203" fontId="1" fillId="0" borderId="1" xfId="0" applyNumberFormat="1" applyFont="1" applyFill="1" applyBorder="1"/>
    <x:xf numFmtId="202" fontId="1" fillId="0" borderId="1" xfId="0" applyNumberFormat="1" applyFont="1" applyFill="1" applyBorder="1"/>
    <x:xf numFmtId="202" fontId="1" fillId="7" borderId="1" xfId="0" applyNumberFormat="1" applyFont="1" applyFill="1" applyBorder="1"/>
    <x:xf numFmtId="202" fontId="1" fillId="8" borderId="1" xfId="0" applyNumberFormat="1" applyFont="1" applyFill="1" applyBorder="1"/>
    <x:xf numFmtId="0" fontId="1" fillId="0" borderId="2" xfId="0" applyNumberFormat="1" applyFont="1" applyFill="1" applyBorder="1"/>
    <x:xf numFmtId="0" fontId="1" fillId="4" borderId="2" xfId="0" applyNumberFormat="1" applyFont="1" applyFill="1" applyBorder="1"/>
    <x:xf numFmtId="0" fontId="9" fillId="4" borderId="2" xfId="0" applyNumberFormat="1" applyFont="1" applyFill="1" applyBorder="1"/>
    <x:xf numFmtId="200" fontId="1" fillId="0" borderId="2" xfId="0" applyNumberFormat="1" applyFont="1" applyFill="1" applyBorder="1"/>
    <x:xf numFmtId="200" fontId="9" fillId="4" borderId="2" xfId="0" applyNumberFormat="1" applyFont="1" applyFill="1" applyBorder="1"/>
    <x:xf numFmtId="202" fontId="1" fillId="0" borderId="2" xfId="0" applyNumberFormat="1" applyFont="1" applyFill="1" applyBorder="1"/>
    <x:xf numFmtId="202" fontId="9" fillId="4" borderId="2" xfId="0" applyNumberFormat="1" applyFont="1" applyFill="1" applyBorder="1"/>
    <x:xf numFmtId="201" fontId="1" fillId="0" borderId="2" xfId="0" applyNumberFormat="1" applyFont="1" applyFill="1" applyBorder="1"/>
    <x:xf numFmtId="0" fontId="1" fillId="4" borderId="1" xfId="0" applyNumberFormat="1" applyFont="1" applyFill="1" applyBorder="1"/>
    <x:xf numFmtId="0" fontId="9" fillId="4" borderId="1" xfId="0" applyNumberFormat="1" applyFont="1" applyFill="1" applyBorder="1"/>
    <x:xf numFmtId="200" fontId="9" fillId="4" borderId="1" xfId="0" applyNumberFormat="1" applyFont="1" applyFill="1" applyBorder="1"/>
    <x:xf numFmtId="202" fontId="9" fillId="4" borderId="1" xfId="0" applyNumberFormat="1" applyFont="1" applyFill="1" applyBorder="1"/>
    <x:xf numFmtId="0" fontId="10" fillId="5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10" fillId="5" borderId="2" xfId="0" applyNumberFormat="1" applyFont="1" applyFill="1" applyBorder="1"/>
    <x:xf numFmtId="0" fontId="4" fillId="2" borderId="2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db13730264473" /><Relationship Type="http://schemas.openxmlformats.org/officeDocument/2006/relationships/theme" Target="/xl/theme/theme1.xml" Id="R716f407d355b4553" /><Relationship Type="http://schemas.openxmlformats.org/officeDocument/2006/relationships/sharedStrings" Target="/xl/sharedStrings.xml" Id="R5fac9a095f3d401f" /><Relationship Type="http://schemas.openxmlformats.org/officeDocument/2006/relationships/worksheet" Target="/xl/worksheets/sheet1.xml" Id="R4be74a85e6ec44e2" /><Relationship Type="http://schemas.openxmlformats.org/officeDocument/2006/relationships/worksheet" Target="/xl/worksheets/sheet2.xml" Id="Rb6efc27d9be2448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ed703f3617248a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Aptos"/>
                <a:ea typeface="Aptos"/>
                <a:cs typeface="Aptos"/>
              </a:rPr>
              <a:t>Allocation by Asset Class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Aptos"/>
              <a:ea typeface="Aptos"/>
              <a:cs typeface="Aptos"/>
            </a:defRPr>
          </a:pPr>
        </a:p>
      </c:txPr>
    </c:title>
    <c:plotArea>
      <c:doughnutChart>
        <c:ser>
          <c:idx val="0"/>
          <c:order val="0"/>
          <c:tx>
            <c:v>Allocation %</c:v>
          </c:tx>
          <c:cat>
            <c:strRef>
              <c:f>'Portfolio Summary'!$A$22:$A$24</c:f>
              <c:strCache>
                <c:ptCount val="0"/>
              </c:strCache>
            </c:strRef>
          </c:cat>
          <c:val>
            <c:numRef>
              <c:f>'Portfolio Summary'!$B$22:$B$24</c:f>
              <c:numCache>
                <c:formatCode>0.0%</c:formatCode>
                <c:ptCount val="0"/>
              </c:numCache>
            </c:numRef>
          </c:val>
        </c:ser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ptos"/>
              <a:ea typeface="Aptos"/>
              <a:cs typeface="Aptos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19</xdr:row>
      <xdr:rowOff>0</xdr:rowOff>
    </xdr:from>
    <xdr:to>
      <xdr:col>12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ed703f3617248a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d2b3ddf4b68461a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0" hidden="0" customWidth="1"/>
    <x:col min="2" max="2" width="34" hidden="0" customWidth="1"/>
    <x:col min="3" max="3" width="14" hidden="0" customWidth="1"/>
    <x:col min="4" max="4" width="22" hidden="0" customWidth="1"/>
    <x:col min="5" max="5" width="17" hidden="0" customWidth="1"/>
    <x:col min="6" max="6" width="15" hidden="0" customWidth="1"/>
    <x:col min="7" max="7" width="15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 ht="20.399999618530273" hidden="0" customHeight="1">
      <x:c r="A1" s="17" t="str">
        <x:v>Risk-Aware ETF Portfolio Allocation</x:v>
      </x:c>
      <x:c r="B1" s="17"/>
      <x:c r="C1" s="17"/>
      <x:c r="D1" s="17"/>
      <x:c r="E1" s="17"/>
      <x:c r="F1" s="17"/>
      <x:c r="G1" s="17"/>
      <x:c r="H1" s="17"/>
      <x:c r="I1" s="17"/>
      <x:c r="J1" s="17"/>
      <x:c r="K1" s="17"/>
      <x:c r="L1" s="17"/>
      <x:c r="M1" s="1"/>
      <x:c r="N1" s="1"/>
      <x:c r="O1" s="1"/>
      <x:c r="P1" s="1"/>
      <x:c r="Q1" s="1"/>
    </x:row>
    <x:row r="2" ht="15" hidden="0" customHeight="1">
      <x:c r="A2" s="19" t="str">
        <x:v>Moderate-risk educational portfolio | Python allocation logic + Excel reporting layer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"/>
      <x:c r="N2" s="1"/>
      <x:c r="O2" s="1"/>
      <x:c r="P2" s="1"/>
      <x:c r="Q2" s="1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15" hidden="0" customHeight="1">
      <x:c r="A4" s="20" t="str">
        <x:v>Assumption</x:v>
      </x:c>
      <x:c r="B4" s="20" t="str">
        <x:v>Editable Value</x:v>
      </x:c>
      <x:c r="C4" s="1"/>
      <x:c r="D4" s="20" t="str">
        <x:v>Portfolio Metric</x:v>
      </x:c>
      <x:c r="E4" s="20" t="str">
        <x:v>Formula Result</x:v>
      </x:c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1" t="str">
        <x:v>Investment Amount (CAD)</x:v>
      </x:c>
      <x:c r="B5" s="23" t="n">
        <x:v>10000</x:v>
      </x:c>
      <x:c r="C5" s="1"/>
      <x:c r="D5" s="11" t="str">
        <x:v>Total Allocation</x:v>
      </x:c>
      <x:c r="E5" s="25" t="n">
        <x:f>SUM(D12:D16)</x:f>
        <x:v>0.9999999999999999</x:v>
      </x:c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11" t="str">
        <x:v>Equity Stress Shock</x:v>
      </x:c>
      <x:c r="B6" s="24" t="n">
        <x:v>-0.15</x:v>
      </x:c>
      <x:c r="C6" s="1"/>
      <x:c r="D6" s="11" t="str">
        <x:v>Weighted Expected Return</x:v>
      </x:c>
      <x:c r="E6" s="25" t="n">
        <x:f>SUMPRODUCT(D12:D16,F12:F16)</x:f>
        <x:v>0.07450000000000001</x:v>
      </x:c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1" t="str">
        <x:v>Bond Stress Shock</x:v>
      </x:c>
      <x:c r="B7" s="24" t="n">
        <x:v>-0.03</x:v>
      </x:c>
      <x:c r="C7" s="1"/>
      <x:c r="D7" s="11" t="str">
        <x:v>Weighted Input Volatility</x:v>
      </x:c>
      <x:c r="E7" s="25" t="n">
        <x:f>SUMPRODUCT(D12:D16,G12:G16)</x:f>
        <x:v>0.1375</x:v>
      </x:c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1" t="str">
        <x:v>Gold Stress Shock</x:v>
      </x:c>
      <x:c r="B8" s="24" t="n">
        <x:v>0.05</x:v>
      </x:c>
      <x:c r="C8" s="1"/>
      <x:c r="D8" s="11" t="str">
        <x:v>Stress-Test Value</x:v>
      </x:c>
      <x:c r="E8" s="27" t="n">
        <x:f>SUM(L12:L16)</x:f>
        <x:v>9060</x:v>
      </x:c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"/>
      <x:c r="B9" s="1"/>
      <x:c r="C9" s="1"/>
      <x:c r="D9" s="11" t="str">
        <x:v>Stress-Test Change</x:v>
      </x:c>
      <x:c r="E9" s="28" t="n">
        <x:f>E8-$B$5</x:f>
        <x:v>-940</x:v>
      </x:c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9" t="str">
        <x:v>ETF</x:v>
      </x:c>
      <x:c r="B11" s="9" t="str">
        <x:v>ETF Name</x:v>
      </x:c>
      <x:c r="C11" s="9" t="str">
        <x:v>Asset Class</x:v>
      </x:c>
      <x:c r="D11" s="9" t="str">
        <x:v>Allocation %</x:v>
      </x:c>
      <x:c r="E11" s="9" t="str">
        <x:v>Investment Amount</x:v>
      </x:c>
      <x:c r="F11" s="9" t="str">
        <x:v>Expected Return %</x:v>
      </x:c>
      <x:c r="G11" s="9" t="str">
        <x:v>Volatility %</x:v>
      </x:c>
      <x:c r="H11" s="9" t="str">
        <x:v>Diversification</x:v>
      </x:c>
      <x:c r="I11" s="9" t="str">
        <x:v>ETF Score</x:v>
      </x:c>
      <x:c r="J11" s="9" t="str">
        <x:v>Stress Shock</x:v>
      </x:c>
      <x:c r="K11" s="9" t="str">
        <x:v>Stress Change</x:v>
      </x:c>
      <x:c r="L11" s="9" t="str">
        <x:v>Stress Value</x:v>
      </x:c>
      <x:c r="M11" s="1"/>
      <x:c r="N11" s="1"/>
      <x:c r="O11" s="1"/>
      <x:c r="P11" s="1"/>
      <x:c r="Q11" s="1"/>
    </x:row>
    <x:row r="12" ht="15" hidden="0" customHeight="1">
      <x:c r="A12" s="29" t="str">
        <x:v>VFV</x:v>
      </x:c>
      <x:c r="B12" s="29" t="str">
        <x:f>'ETF Data'!B5</x:f>
        <x:v>Vanguard S&amp;P 500 Index ETF</x:v>
      </x:c>
      <x:c r="C12" s="29" t="str">
        <x:f>'ETF Data'!C5</x:f>
        <x:v>Equity</x:v>
      </x:c>
      <x:c r="D12" s="32" t="n">
        <x:f>'ETF Data'!D5</x:f>
        <x:v>0.25</x:v>
      </x:c>
      <x:c r="E12" s="34" t="n">
        <x:f>D12*$B$5</x:f>
        <x:v>2500</x:v>
      </x:c>
      <x:c r="F12" s="32" t="n">
        <x:f>'ETF Data'!E5</x:f>
        <x:v>0.12</x:v>
      </x:c>
      <x:c r="G12" s="32" t="n">
        <x:f>'ETF Data'!F5</x:f>
        <x:v>0.18</x:v>
      </x:c>
      <x:c r="H12" s="36" t="n">
        <x:f>'ETF Data'!G5</x:f>
        <x:v>80</x:v>
      </x:c>
      <x:c r="I12" s="36" t="n">
        <x:f>'ETF Data'!H5</x:f>
        <x:v>112</x:v>
      </x:c>
      <x:c r="J12" s="32" t="n">
        <x:f>IF(C12="Equity",$B$6,IF(C12="Bond",$B$7,$B$8))</x:f>
        <x:v>-0.15</x:v>
      </x:c>
      <x:c r="K12" s="34" t="n">
        <x:f>E12*J12</x:f>
        <x:v>-375</x:v>
      </x:c>
      <x:c r="L12" s="34" t="n">
        <x:f>E12+K12</x:f>
        <x:v>2125</x:v>
      </x:c>
      <x:c r="M12" s="1"/>
      <x:c r="N12" s="1"/>
      <x:c r="O12" s="1"/>
      <x:c r="P12" s="1"/>
      <x:c r="Q12" s="1"/>
    </x:row>
    <x:row r="13" ht="15" hidden="0" customHeight="1">
      <x:c r="A13" s="29" t="str">
        <x:v>XIC</x:v>
      </x:c>
      <x:c r="B13" s="29" t="str">
        <x:f>'ETF Data'!B6</x:f>
        <x:v>iShares Core S&amp;P/TSX Capped Composite ETF</x:v>
      </x:c>
      <x:c r="C13" s="29" t="str">
        <x:f>'ETF Data'!C6</x:f>
        <x:v>Equity</x:v>
      </x:c>
      <x:c r="D13" s="32" t="n">
        <x:f>'ETF Data'!D6</x:f>
        <x:v>0.2</x:v>
      </x:c>
      <x:c r="E13" s="34" t="n">
        <x:f>D13*$B$5</x:f>
        <x:v>2000</x:v>
      </x:c>
      <x:c r="F13" s="32" t="n">
        <x:f>'ETF Data'!E6</x:f>
        <x:v>0.08</x:v>
      </x:c>
      <x:c r="G13" s="32" t="n">
        <x:f>'ETF Data'!F6</x:f>
        <x:v>0.16</x:v>
      </x:c>
      <x:c r="H13" s="36" t="n">
        <x:f>'ETF Data'!G6</x:f>
        <x:v>75</x:v>
      </x:c>
      <x:c r="I13" s="36" t="n">
        <x:f>'ETF Data'!H6</x:f>
        <x:v>97.5</x:v>
      </x:c>
      <x:c r="J13" s="32" t="n">
        <x:f>IF(C13="Equity",$B$6,IF(C13="Bond",$B$7,$B$8))</x:f>
        <x:v>-0.15</x:v>
      </x:c>
      <x:c r="K13" s="34" t="n">
        <x:f>E13*J13</x:f>
        <x:v>-300</x:v>
      </x:c>
      <x:c r="L13" s="34" t="n">
        <x:f>E13+K13</x:f>
        <x:v>1700</x:v>
      </x:c>
      <x:c r="M13" s="1"/>
      <x:c r="N13" s="1"/>
      <x:c r="O13" s="1"/>
      <x:c r="P13" s="1"/>
      <x:c r="Q13" s="1"/>
    </x:row>
    <x:row r="14" ht="15" hidden="0" customHeight="1">
      <x:c r="A14" s="29" t="str">
        <x:v>XEF</x:v>
      </x:c>
      <x:c r="B14" s="29" t="str">
        <x:f>'ETF Data'!B7</x:f>
        <x:v>iShares Core MSCI EAFE IMI Index ETF</x:v>
      </x:c>
      <x:c r="C14" s="29" t="str">
        <x:f>'ETF Data'!C7</x:f>
        <x:v>Equity</x:v>
      </x:c>
      <x:c r="D14" s="32" t="n">
        <x:f>'ETF Data'!D7</x:f>
        <x:v>0.15</x:v>
      </x:c>
      <x:c r="E14" s="34" t="n">
        <x:f>D14*$B$5</x:f>
        <x:v>1500</x:v>
      </x:c>
      <x:c r="F14" s="32" t="n">
        <x:f>'ETF Data'!E7</x:f>
        <x:v>0.07</x:v>
      </x:c>
      <x:c r="G14" s="32" t="n">
        <x:f>'ETF Data'!F7</x:f>
        <x:v>0.17</x:v>
      </x:c>
      <x:c r="H14" s="36" t="n">
        <x:f>'ETF Data'!G7</x:f>
        <x:v>85</x:v>
      </x:c>
      <x:c r="I14" s="36" t="n">
        <x:f>'ETF Data'!H7</x:f>
        <x:v>96.5</x:v>
      </x:c>
      <x:c r="J14" s="32" t="n">
        <x:f>IF(C14="Equity",$B$6,IF(C14="Bond",$B$7,$B$8))</x:f>
        <x:v>-0.15</x:v>
      </x:c>
      <x:c r="K14" s="34" t="n">
        <x:f>E14*J14</x:f>
        <x:v>-225</x:v>
      </x:c>
      <x:c r="L14" s="34" t="n">
        <x:f>E14+K14</x:f>
        <x:v>1275</x:v>
      </x:c>
      <x:c r="M14" s="1"/>
      <x:c r="N14" s="1"/>
      <x:c r="O14" s="1"/>
      <x:c r="P14" s="1"/>
      <x:c r="Q14" s="1"/>
    </x:row>
    <x:row r="15" ht="15" hidden="0" customHeight="1">
      <x:c r="A15" s="29" t="str">
        <x:v>XBB</x:v>
      </x:c>
      <x:c r="B15" s="29" t="str">
        <x:f>'ETF Data'!B8</x:f>
        <x:v>iShares Core Canadian Universe Bond Index ETF</x:v>
      </x:c>
      <x:c r="C15" s="29" t="str">
        <x:f>'ETF Data'!C8</x:f>
        <x:v>Bond</x:v>
      </x:c>
      <x:c r="D15" s="32" t="n">
        <x:f>'ETF Data'!D8</x:f>
        <x:v>0.3</x:v>
      </x:c>
      <x:c r="E15" s="34" t="n">
        <x:f>D15*$B$5</x:f>
        <x:v>3000</x:v>
      </x:c>
      <x:c r="F15" s="32" t="n">
        <x:f>'ETF Data'!E8</x:f>
        <x:v>0.04</x:v>
      </x:c>
      <x:c r="G15" s="32" t="n">
        <x:f>'ETF Data'!F8</x:f>
        <x:v>0.07</x:v>
      </x:c>
      <x:c r="H15" s="36" t="n">
        <x:f>'ETF Data'!G8</x:f>
        <x:v>70</x:v>
      </x:c>
      <x:c r="I15" s="36" t="n">
        <x:f>'ETF Data'!H8</x:f>
        <x:v>97</x:v>
      </x:c>
      <x:c r="J15" s="32" t="n">
        <x:f>IF(C15="Equity",$B$6,IF(C15="Bond",$B$7,$B$8))</x:f>
        <x:v>-0.03</x:v>
      </x:c>
      <x:c r="K15" s="34" t="n">
        <x:f>E15*J15</x:f>
        <x:v>-90</x:v>
      </x:c>
      <x:c r="L15" s="34" t="n">
        <x:f>E15+K15</x:f>
        <x:v>2910</x:v>
      </x:c>
      <x:c r="M15" s="1"/>
      <x:c r="N15" s="1"/>
      <x:c r="O15" s="1"/>
      <x:c r="P15" s="1"/>
      <x:c r="Q15" s="1"/>
    </x:row>
    <x:row r="16" ht="15" hidden="0" customHeight="1">
      <x:c r="A16" s="29" t="str">
        <x:v>CGL</x:v>
      </x:c>
      <x:c r="B16" s="29" t="str">
        <x:f>'ETF Data'!B9</x:f>
        <x:v>iShares Gold Bullion ETF</x:v>
      </x:c>
      <x:c r="C16" s="29" t="str">
        <x:f>'ETF Data'!C9</x:f>
        <x:v>Gold</x:v>
      </x:c>
      <x:c r="D16" s="32" t="n">
        <x:f>'ETF Data'!D9</x:f>
        <x:v>0.1</x:v>
      </x:c>
      <x:c r="E16" s="34" t="n">
        <x:f>D16*$B$5</x:f>
        <x:v>1000</x:v>
      </x:c>
      <x:c r="F16" s="32" t="n">
        <x:f>'ETF Data'!E9</x:f>
        <x:v>0.06</x:v>
      </x:c>
      <x:c r="G16" s="32" t="n">
        <x:f>'ETF Data'!F9</x:f>
        <x:v>0.14</x:v>
      </x:c>
      <x:c r="H16" s="36" t="n">
        <x:f>'ETF Data'!G9</x:f>
        <x:v>78</x:v>
      </x:c>
      <x:c r="I16" s="36" t="n">
        <x:f>'ETF Data'!H9</x:f>
        <x:v>95</x:v>
      </x:c>
      <x:c r="J16" s="32" t="n">
        <x:f>IF(C16="Equity",$B$6,IF(C16="Bond",$B$7,$B$8))</x:f>
        <x:v>0.05</x:v>
      </x:c>
      <x:c r="K16" s="34" t="n">
        <x:f>E16*J16</x:f>
        <x:v>50</x:v>
      </x:c>
      <x:c r="L16" s="34" t="n">
        <x:f>E16+K16</x:f>
        <x:v>1050</x:v>
      </x:c>
      <x:c r="M16" s="1"/>
      <x:c r="N16" s="1"/>
      <x:c r="O16" s="1"/>
      <x:c r="P16" s="1"/>
      <x:c r="Q16" s="1"/>
    </x:row>
    <x:row r="17" ht="15" hidden="0" customHeight="1">
      <x:c r="A17" s="31" t="str">
        <x:v>Total</x:v>
      </x:c>
      <x:c r="B17" s="31"/>
      <x:c r="C17" s="31"/>
      <x:c r="D17" s="33" t="n">
        <x:f>SUM(D12:D16)</x:f>
        <x:v>0.9999999999999999</x:v>
      </x:c>
      <x:c r="E17" s="35" t="n">
        <x:f>SUM(E12:E16)</x:f>
        <x:v>10000</x:v>
      </x:c>
      <x:c r="F17" s="31"/>
      <x:c r="G17" s="31"/>
      <x:c r="H17" s="31"/>
      <x:c r="I17" s="31"/>
      <x:c r="J17" s="31"/>
      <x:c r="K17" s="35" t="n">
        <x:f>SUM(K12:K16)</x:f>
        <x:v>-940</x:v>
      </x:c>
      <x:c r="L17" s="35" t="n">
        <x:f>SUM(L12:L16)</x:f>
        <x:v>9060</x:v>
      </x:c>
      <x:c r="M17" s="1"/>
      <x:c r="N17" s="1"/>
      <x:c r="O17" s="1"/>
      <x:c r="P17" s="1"/>
      <x:c r="Q17" s="1"/>
    </x:row>
    <x:row r="18" ht="15" hidden="0" customHeight="1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 ht="15" hidden="0" customHeight="1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 ht="15" hidden="0" customHeight="1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 ht="15" hidden="0" customHeight="1">
      <x:c r="A21" s="20" t="str">
        <x:v>Asset Class</x:v>
      </x:c>
      <x:c r="B21" s="20" t="str">
        <x:v>Allocation %</x:v>
      </x:c>
      <x:c r="C21" s="20" t="str">
        <x:v>Investment Amount</x:v>
      </x:c>
      <x:c r="D21" s="20" t="str">
        <x:v>Stress Change</x:v>
      </x:c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 ht="15" hidden="0" customHeight="1">
      <x:c r="A22" s="11" t="str">
        <x:v>Equity</x:v>
      </x:c>
      <x:c r="B22" s="12" t="n">
        <x:f>SUMIF($C$12:$C$16,A22,$D$12:$D$16)</x:f>
        <x:v>0.6</x:v>
      </x:c>
      <x:c r="C22" s="26" t="n">
        <x:f>SUMIF($C$12:$C$16,A22,$E$12:$E$16)</x:f>
        <x:v>6000</x:v>
      </x:c>
      <x:c r="D22" s="26" t="n">
        <x:f>SUMIF($C$12:$C$16,A22,$K$12:$K$16)</x:f>
        <x:v>-900</x:v>
      </x:c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 ht="15" hidden="0" customHeight="1">
      <x:c r="A23" s="11" t="str">
        <x:v>Bond</x:v>
      </x:c>
      <x:c r="B23" s="12" t="n">
        <x:f>SUMIF($C$12:$C$16,A23,$D$12:$D$16)</x:f>
        <x:v>0.3</x:v>
      </x:c>
      <x:c r="C23" s="26" t="n">
        <x:f>SUMIF($C$12:$C$16,A23,$E$12:$E$16)</x:f>
        <x:v>3000</x:v>
      </x:c>
      <x:c r="D23" s="26" t="n">
        <x:f>SUMIF($C$12:$C$16,A23,$K$12:$K$16)</x:f>
        <x:v>-90</x:v>
      </x:c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 ht="15" hidden="0" customHeight="1">
      <x:c r="A24" s="11" t="str">
        <x:v>Gold</x:v>
      </x:c>
      <x:c r="B24" s="12" t="n">
        <x:f>SUMIF($C$12:$C$16,A24,$D$12:$D$16)</x:f>
        <x:v>0.1</x:v>
      </x:c>
      <x:c r="C24" s="26" t="n">
        <x:f>SUMIF($C$12:$C$16,A24,$E$12:$E$16)</x:f>
        <x:v>1000</x:v>
      </x:c>
      <x:c r="D24" s="26" t="n">
        <x:f>SUMIF($C$12:$C$16,A24,$K$12:$K$16)</x:f>
        <x:v>50</x:v>
      </x:c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 ht="15" hidden="0" customHeight="1">
      <x:c r="A25" s="38" t="str">
        <x:v>Total</x:v>
      </x:c>
      <x:c r="B25" s="39" t="n">
        <x:f>SUM(B22:B24)</x:f>
        <x:v>0.9999999999999999</x:v>
      </x:c>
      <x:c r="C25" s="40" t="n">
        <x:f>SUM(C22:C24)</x:f>
        <x:v>10000</x:v>
      </x:c>
      <x:c r="D25" s="40" t="n">
        <x:f>SUM(D22:D24)</x:f>
        <x:v>-940</x:v>
      </x:c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 ht="15" hidden="0" customHeight="1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 ht="15" hidden="0" customHeight="1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 ht="15" hidden="0" customHeight="1">
      <x:c r="A28" s="43" t="str">
        <x:v>How to Read the Stress Test</x:v>
      </x:c>
      <x:c r="B28" s="43"/>
      <x:c r="C28" s="43"/>
      <x:c r="D28" s="43"/>
      <x:c r="E28" s="43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 ht="15" hidden="0" customHeight="1">
      <x:c r="A29" s="44" t="str">
        <x:v>1</x:v>
      </x:c>
      <x:c r="B29" s="29" t="str">
        <x:v>Apply a simple class-level shock to each investment amount.</x:v>
      </x:c>
      <x:c r="C29" s="29"/>
      <x:c r="D29" s="29"/>
      <x:c r="E29" s="29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 ht="15" hidden="0" customHeight="1">
      <x:c r="A30" s="44" t="str">
        <x:v>2</x:v>
      </x:c>
      <x:c r="B30" s="29" t="str">
        <x:v>Add each stressed change to the original amount.</x:v>
      </x:c>
      <x:c r="C30" s="29"/>
      <x:c r="D30" s="29"/>
      <x:c r="E30" s="29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 ht="15" hidden="0" customHeight="1">
      <x:c r="A31" s="44" t="str">
        <x:v>3</x:v>
      </x:c>
      <x:c r="B31" s="29" t="str">
        <x:v>Compare the stressed total with the original CAD 10,000 portfolio.</x:v>
      </x:c>
      <x:c r="C31" s="29"/>
      <x:c r="D31" s="29"/>
      <x:c r="E31" s="29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</x:sheetData>
  <x:mergeCells>
    <x:mergeCell ref="A1:L1"/>
    <x:mergeCell ref="A2:L2"/>
    <x:mergeCell ref="A28:E28"/>
    <x:mergeCell ref="B29:E29"/>
    <x:mergeCell ref="B30:E30"/>
    <x:mergeCell ref="B31:E31"/>
  </x:mergeCells>
  <x:pageMargins left="0.7" right="0.7" top="0.75" bottom="0.75" header="0.3" footer="0.3"/>
  <x:drawing xmlns:r="http://schemas.openxmlformats.org/officeDocument/2006/relationships" r:id="Rad2b3ddf4b68461a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1" hidden="0" customWidth="1"/>
    <x:col min="2" max="2" width="42" hidden="0" customWidth="1"/>
    <x:col min="3" max="3" width="1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19.200000762939453" hidden="0" customHeight="1">
      <x:c r="A1" s="4" t="str">
        <x:v>ETF Input Data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</x:row>
    <x:row r="2" ht="15" hidden="0" customHeight="1">
      <x:c r="A2" s="7" t="str">
        <x:v>Illustrative educational inputs used by the Python allocator; not market forecasts or investment advice.</x:v>
      </x:c>
      <x:c r="B2" s="7"/>
      <x:c r="C2" s="7"/>
      <x:c r="D2" s="7"/>
      <x:c r="E2" s="7"/>
      <x:c r="F2" s="7"/>
      <x:c r="G2" s="7"/>
      <x:c r="H2" s="7"/>
      <x:c r="I2" s="1"/>
      <x:c r="J2" s="1"/>
      <x:c r="K2" s="1"/>
      <x:c r="L2" s="1"/>
      <x:c r="M2" s="1"/>
      <x:c r="N2" s="1"/>
      <x:c r="O2" s="1"/>
      <x:c r="P2" s="1"/>
      <x:c r="Q2" s="1"/>
    </x:row>
    <x:row r="3" ht="15" hidden="0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 ht="24" hidden="0" customHeight="1">
      <x:c r="A4" s="10" t="str">
        <x:v>ETF</x:v>
      </x:c>
      <x:c r="B4" s="10" t="str">
        <x:v>ETF Name</x:v>
      </x:c>
      <x:c r="C4" s="10" t="str">
        <x:v>Asset Class</x:v>
      </x:c>
      <x:c r="D4" s="10" t="str">
        <x:v>Allocation %</x:v>
      </x:c>
      <x:c r="E4" s="10" t="str">
        <x:v>Expected Return %</x:v>
      </x:c>
      <x:c r="F4" s="10" t="str">
        <x:v>Volatility %</x:v>
      </x:c>
      <x:c r="G4" s="10" t="str">
        <x:v>Diversification</x:v>
      </x:c>
      <x:c r="H4" s="10" t="str">
        <x:v>ETF Score</x:v>
      </x:c>
      <x:c r="I4" s="1"/>
      <x:c r="J4" s="1"/>
      <x:c r="K4" s="1"/>
      <x:c r="L4" s="1"/>
      <x:c r="M4" s="1"/>
      <x:c r="N4" s="1"/>
      <x:c r="O4" s="1"/>
      <x:c r="P4" s="1"/>
      <x:c r="Q4" s="1"/>
    </x:row>
    <x:row r="5" ht="15" hidden="0" customHeight="1">
      <x:c r="A5" s="11" t="str">
        <x:v>VFV</x:v>
      </x:c>
      <x:c r="B5" s="11" t="str">
        <x:v>Vanguard S&amp;P 500 Index ETF</x:v>
      </x:c>
      <x:c r="C5" s="11" t="str">
        <x:v>Equity</x:v>
      </x:c>
      <x:c r="D5" s="12" t="n">
        <x:v>0.25</x:v>
      </x:c>
      <x:c r="E5" s="12" t="n">
        <x:v>0.12</x:v>
      </x:c>
      <x:c r="F5" s="12" t="n">
        <x:v>0.18</x:v>
      </x:c>
      <x:c r="G5" s="13" t="n">
        <x:v>80</x:v>
      </x:c>
      <x:c r="H5" s="13" t="n">
        <x:v>112</x:v>
      </x:c>
      <x:c r="I5" s="1"/>
      <x:c r="J5" s="1"/>
      <x:c r="K5" s="1"/>
      <x:c r="L5" s="1"/>
      <x:c r="M5" s="1"/>
      <x:c r="N5" s="1"/>
      <x:c r="O5" s="1"/>
      <x:c r="P5" s="1"/>
      <x:c r="Q5" s="1"/>
    </x:row>
    <x:row r="6" ht="15" hidden="0" customHeight="1">
      <x:c r="A6" s="11" t="str">
        <x:v>XIC</x:v>
      </x:c>
      <x:c r="B6" s="11" t="str">
        <x:v>iShares Core S&amp;P/TSX Capped Composite ETF</x:v>
      </x:c>
      <x:c r="C6" s="11" t="str">
        <x:v>Equity</x:v>
      </x:c>
      <x:c r="D6" s="12" t="n">
        <x:v>0.2</x:v>
      </x:c>
      <x:c r="E6" s="12" t="n">
        <x:v>0.08</x:v>
      </x:c>
      <x:c r="F6" s="12" t="n">
        <x:v>0.16</x:v>
      </x:c>
      <x:c r="G6" s="13" t="n">
        <x:v>75</x:v>
      </x:c>
      <x:c r="H6" s="13" t="n">
        <x:v>97.5</x:v>
      </x:c>
      <x:c r="I6" s="1"/>
      <x:c r="J6" s="1"/>
      <x:c r="K6" s="1"/>
      <x:c r="L6" s="1"/>
      <x:c r="M6" s="1"/>
      <x:c r="N6" s="1"/>
      <x:c r="O6" s="1"/>
      <x:c r="P6" s="1"/>
      <x:c r="Q6" s="1"/>
    </x:row>
    <x:row r="7" ht="15" hidden="0" customHeight="1">
      <x:c r="A7" s="11" t="str">
        <x:v>XEF</x:v>
      </x:c>
      <x:c r="B7" s="11" t="str">
        <x:v>iShares Core MSCI EAFE IMI Index ETF</x:v>
      </x:c>
      <x:c r="C7" s="11" t="str">
        <x:v>Equity</x:v>
      </x:c>
      <x:c r="D7" s="12" t="n">
        <x:v>0.15</x:v>
      </x:c>
      <x:c r="E7" s="12" t="n">
        <x:v>0.07</x:v>
      </x:c>
      <x:c r="F7" s="12" t="n">
        <x:v>0.17</x:v>
      </x:c>
      <x:c r="G7" s="13" t="n">
        <x:v>85</x:v>
      </x:c>
      <x:c r="H7" s="13" t="n">
        <x:v>96.5</x:v>
      </x:c>
      <x:c r="I7" s="1"/>
      <x:c r="J7" s="1"/>
      <x:c r="K7" s="1"/>
      <x:c r="L7" s="1"/>
      <x:c r="M7" s="1"/>
      <x:c r="N7" s="1"/>
      <x:c r="O7" s="1"/>
      <x:c r="P7" s="1"/>
      <x:c r="Q7" s="1"/>
    </x:row>
    <x:row r="8" ht="15" hidden="0" customHeight="1">
      <x:c r="A8" s="11" t="str">
        <x:v>XBB</x:v>
      </x:c>
      <x:c r="B8" s="11" t="str">
        <x:v>iShares Core Canadian Universe Bond Index ETF</x:v>
      </x:c>
      <x:c r="C8" s="11" t="str">
        <x:v>Bond</x:v>
      </x:c>
      <x:c r="D8" s="12" t="n">
        <x:v>0.3</x:v>
      </x:c>
      <x:c r="E8" s="12" t="n">
        <x:v>0.04</x:v>
      </x:c>
      <x:c r="F8" s="12" t="n">
        <x:v>0.07</x:v>
      </x:c>
      <x:c r="G8" s="13" t="n">
        <x:v>70</x:v>
      </x:c>
      <x:c r="H8" s="13" t="n">
        <x:v>97</x:v>
      </x:c>
      <x:c r="I8" s="1"/>
      <x:c r="J8" s="1"/>
      <x:c r="K8" s="1"/>
      <x:c r="L8" s="1"/>
      <x:c r="M8" s="1"/>
      <x:c r="N8" s="1"/>
      <x:c r="O8" s="1"/>
      <x:c r="P8" s="1"/>
      <x:c r="Q8" s="1"/>
    </x:row>
    <x:row r="9" ht="15" hidden="0" customHeight="1">
      <x:c r="A9" s="11" t="str">
        <x:v>CGL</x:v>
      </x:c>
      <x:c r="B9" s="11" t="str">
        <x:v>iShares Gold Bullion ETF</x:v>
      </x:c>
      <x:c r="C9" s="11" t="str">
        <x:v>Gold</x:v>
      </x:c>
      <x:c r="D9" s="12" t="n">
        <x:v>0.1</x:v>
      </x:c>
      <x:c r="E9" s="12" t="n">
        <x:v>0.06</x:v>
      </x:c>
      <x:c r="F9" s="12" t="n">
        <x:v>0.14</x:v>
      </x:c>
      <x:c r="G9" s="13" t="n">
        <x:v>78</x:v>
      </x:c>
      <x:c r="H9" s="13" t="n">
        <x:v>95</x:v>
      </x:c>
      <x:c r="I9" s="1"/>
      <x:c r="J9" s="1"/>
      <x:c r="K9" s="1"/>
      <x:c r="L9" s="1"/>
      <x:c r="M9" s="1"/>
      <x:c r="N9" s="1"/>
      <x:c r="O9" s="1"/>
      <x:c r="P9" s="1"/>
      <x:c r="Q9" s="1"/>
    </x:row>
    <x:row r="10" ht="15" hidden="0" customHeight="1">
      <x:c r="A10" s="1"/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 ht="15" hidden="0" customHeight="1">
      <x:c r="A11" s="15" t="str">
        <x:v>The five rows match the sample portfolio produced by etf_allocator.py.</x:v>
      </x:c>
      <x:c r="B11" s="15"/>
      <x:c r="C11" s="15"/>
      <x:c r="D11" s="15"/>
      <x:c r="E11" s="15"/>
      <x:c r="F11" s="15"/>
      <x:c r="G11" s="15"/>
      <x:c r="H11" s="15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1"/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1"/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1"/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1"/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1"/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</x:row>
  </x:sheetData>
  <x:mergeCells>
    <x:mergeCell ref="A1:H1"/>
    <x:mergeCell ref="A2:H2"/>
    <x:mergeCell ref="A11:H11"/>
  </x:mergeCells>
  <x:pageMargins left="0.7" right="0.7" top="0.75" bottom="0.75" header="0.3" footer="0.3"/>
</x:worksheet>
</file>